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  <extLst>
    <ext uri="GoogleSheetsCustomDataVersion2">
      <go:sheetsCustomData xmlns:go="http://customooxmlschemas.google.com/" r:id="rId5" roundtripDataChecksum="botFrdEN+lU8w9d5tFG7N2FCaDsOYziG4DyjlmjZlGM="/>
    </ext>
  </extLst>
</workbook>
</file>

<file path=xl/sharedStrings.xml><?xml version="1.0" encoding="utf-8"?>
<sst xmlns="http://schemas.openxmlformats.org/spreadsheetml/2006/main" count="56" uniqueCount="40">
  <si>
    <t>Period</t>
  </si>
  <si>
    <t>Filing_Type</t>
  </si>
  <si>
    <t>Revenue_USD</t>
  </si>
  <si>
    <t>Cost_of_Revenue_USD</t>
  </si>
  <si>
    <t>Technology_Infra_USD</t>
  </si>
  <si>
    <t>Sales_Marketing_USD</t>
  </si>
  <si>
    <t>General_Admin_USD</t>
  </si>
  <si>
    <t>Total_Operating_Expenses_USD</t>
  </si>
  <si>
    <t>Operating_Income_USD</t>
  </si>
  <si>
    <t>Total_Assets_USD</t>
  </si>
  <si>
    <t>Total_Liabilities_USD</t>
  </si>
  <si>
    <t>Q1 2022 (Mar 31, 2022)</t>
  </si>
  <si>
    <t>Simulated</t>
  </si>
  <si>
    <t>Q2 2022 (Jun 30, 2022)</t>
  </si>
  <si>
    <t>Q3 2022 (Sep 30, 2022)</t>
  </si>
  <si>
    <t>Q4 2022 (Dec 31, 2022)</t>
  </si>
  <si>
    <t>FY 2022 (Dec 31, 2022)</t>
  </si>
  <si>
    <t>S-1 (audited)</t>
  </si>
  <si>
    <t>Q1 2023 (Mar 31, 2023)</t>
  </si>
  <si>
    <t>Q2 2023 (Jun 30, 2023)</t>
  </si>
  <si>
    <t>Q3 2023 (Sep 30, 2023)</t>
  </si>
  <si>
    <t>Q4 2023 (Dec 31, 2023)</t>
  </si>
  <si>
    <t>FY 2023 (Dec 31, 2023)</t>
  </si>
  <si>
    <t>Q1 2024 (Mar 31, 2024)</t>
  </si>
  <si>
    <t>Q2 2024 (Jun 30, 2024)</t>
  </si>
  <si>
    <t>Q3 2024 (Sep 30, 2024)</t>
  </si>
  <si>
    <t>Q4 2024 (Dec 31, 2024)</t>
  </si>
  <si>
    <t>FY 2024 (Dec 31, 2024)</t>
  </si>
  <si>
    <t>Q1 2025 (Mar 31, 2025)</t>
  </si>
  <si>
    <t>Form 10-Q</t>
  </si>
  <si>
    <t>Q2 2025 (Jun 30, 2025)</t>
  </si>
  <si>
    <t>Q3 2025 (Sep 30, 2025)</t>
  </si>
  <si>
    <t>Q4 2025 (Dec 31, 2025)</t>
  </si>
  <si>
    <t>FY 2025 (Dec 31, 2025)</t>
  </si>
  <si>
    <t>S-1 (Simulated)</t>
  </si>
  <si>
    <t>Q4 2025</t>
  </si>
  <si>
    <t>Q1 to Q2 Growth</t>
  </si>
  <si>
    <t>Q2 to Q3 Growth</t>
  </si>
  <si>
    <t>Q4 Growth Rate with 65% slow down to have conservative estimate</t>
  </si>
  <si>
    <t>Q4 Revenue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</si>
</sst>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_(&quot;$&quot;* #,##0.00_);_(&quot;$&quot;* \(#,##0.00\);_(&quot;$&quot;* &quot;-&quot;??_);_(@_)"/>
    <numFmt numFmtId="165" formatCode="&quot;$&quot;#,##0.00"/>
  </numFmts>
  <fonts count="6">
    <font>
      <sz val="11.0"/>
      <color theme="1"/>
      <name val="Calibri"/>
      <scheme val="minor"/>
    </font>
    <font>
      <b/>
      <sz val="12.0"/>
      <color rgb="FFFFFFFF"/>
      <name val="Calibri"/>
    </font>
    <font>
      <b/>
      <sz val="12.0"/>
      <color theme="1"/>
      <name val="Calibri"/>
    </font>
    <font>
      <color theme="1"/>
      <name val="Calibri"/>
      <scheme val="minor"/>
    </font>
    <font>
      <sz val="11.0"/>
      <color theme="1"/>
      <name val="Calibri"/>
    </font>
    <font>
      <b/>
      <color theme="1"/>
      <name val="Calibri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0" fillId="0" fontId="4" numFmtId="164" xfId="0" applyFont="1" applyNumberFormat="1"/>
    <xf borderId="0" fillId="0" fontId="4" numFmtId="164" xfId="0" applyAlignment="1" applyFont="1" applyNumberFormat="1">
      <alignment readingOrder="0"/>
    </xf>
    <xf borderId="0" fillId="0" fontId="3" numFmtId="165" xfId="0" applyAlignment="1" applyFont="1" applyNumberFormat="1">
      <alignment readingOrder="0"/>
    </xf>
    <xf borderId="0" fillId="0" fontId="3" numFmtId="164" xfId="0" applyFont="1" applyNumberFormat="1"/>
    <xf borderId="0" fillId="0" fontId="5" numFmtId="164" xfId="0" applyAlignment="1" applyFont="1" applyNumberFormat="1">
      <alignment readingOrder="0"/>
    </xf>
    <xf borderId="0" fillId="0" fontId="3" numFmtId="165" xfId="0" applyFont="1" applyNumberFormat="1"/>
    <xf borderId="0" fillId="0" fontId="3" numFmtId="10" xfId="0" applyFont="1" applyNumberFormat="1"/>
    <xf borderId="0" fillId="0" fontId="3" numFmtId="165" xfId="0" applyAlignment="1" applyFont="1" applyNumberFormat="1">
      <alignment readingOrder="0" shrinkToFit="0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1"/>
          <bgColor theme="1"/>
        </patternFill>
      </fill>
      <border/>
    </dxf>
    <dxf>
      <font/>
      <fill>
        <patternFill patternType="solid">
          <fgColor rgb="FFD8D8D8"/>
          <bgColor rgb="FFD8D8D8"/>
        </patternFill>
      </fill>
      <border/>
    </dxf>
    <dxf>
      <font/>
      <fill>
        <patternFill patternType="solid">
          <fgColor theme="0"/>
          <bgColor theme="0"/>
        </patternFill>
      </fill>
      <border/>
    </dxf>
  </dxfs>
  <tableStyles count="1">
    <tableStyle count="3" pivot="0" name="Sheet1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K21" displayName="Table_1" name="Table_1" id="1">
  <tableColumns count="11">
    <tableColumn name="Period" id="1"/>
    <tableColumn name="Filing_Type" id="2"/>
    <tableColumn name="Revenue_USD" id="3"/>
    <tableColumn name="Cost_of_Revenue_USD" id="4"/>
    <tableColumn name="Technology_Infra_USD" id="5"/>
    <tableColumn name="Sales_Marketing_USD" id="6"/>
    <tableColumn name="General_Admin_USD" id="7"/>
    <tableColumn name="Total_Operating_Expenses_USD" id="8"/>
    <tableColumn name="Operating_Income_USD" id="9"/>
    <tableColumn name="Total_Assets_USD" id="10"/>
    <tableColumn name="Total_Liabilities_USD" id="11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20.0"/>
    <col customWidth="1" min="3" max="3" width="18.29"/>
    <col customWidth="1" min="4" max="4" width="22.86"/>
    <col customWidth="1" min="5" max="5" width="22.57"/>
    <col customWidth="1" min="6" max="6" width="22.0"/>
    <col customWidth="1" min="7" max="7" width="21.14"/>
    <col customWidth="1" min="8" max="8" width="31.43"/>
    <col customWidth="1" min="9" max="9" width="23.86"/>
    <col customWidth="1" min="10" max="10" width="19.43"/>
    <col customWidth="1" min="11" max="11" width="21.0"/>
    <col customWidth="1" min="12" max="26" width="8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14.25" customHeight="1">
      <c r="A2" s="2" t="s">
        <v>11</v>
      </c>
      <c r="B2" s="3" t="s">
        <v>12</v>
      </c>
      <c r="C2" s="4">
        <f t="shared" ref="C2:I2" si="1">C6*0.23</f>
        <v>3640900</v>
      </c>
      <c r="D2" s="4">
        <f t="shared" si="1"/>
        <v>2788060</v>
      </c>
      <c r="E2" s="4">
        <f t="shared" si="1"/>
        <v>4164380</v>
      </c>
      <c r="F2" s="4">
        <f t="shared" si="1"/>
        <v>570630</v>
      </c>
      <c r="G2" s="4">
        <f t="shared" si="1"/>
        <v>1380230</v>
      </c>
      <c r="H2" s="4">
        <f t="shared" si="1"/>
        <v>8903300</v>
      </c>
      <c r="I2" s="4">
        <f t="shared" si="1"/>
        <v>-5262400</v>
      </c>
      <c r="J2" s="4"/>
      <c r="K2" s="4"/>
    </row>
    <row r="3" ht="14.25" customHeight="1">
      <c r="A3" s="2" t="s">
        <v>13</v>
      </c>
      <c r="B3" s="3" t="s">
        <v>12</v>
      </c>
      <c r="C3" s="4">
        <f t="shared" ref="C3:I3" si="2">C6*0.24</f>
        <v>3799200</v>
      </c>
      <c r="D3" s="4">
        <f t="shared" si="2"/>
        <v>2909280</v>
      </c>
      <c r="E3" s="4">
        <f t="shared" si="2"/>
        <v>4345440</v>
      </c>
      <c r="F3" s="4">
        <f t="shared" si="2"/>
        <v>595440</v>
      </c>
      <c r="G3" s="4">
        <f t="shared" si="2"/>
        <v>1440240</v>
      </c>
      <c r="H3" s="4">
        <f t="shared" si="2"/>
        <v>9290400</v>
      </c>
      <c r="I3" s="4">
        <f t="shared" si="2"/>
        <v>-5491200</v>
      </c>
      <c r="J3" s="4"/>
      <c r="K3" s="4"/>
    </row>
    <row r="4" ht="14.25" customHeight="1">
      <c r="A4" s="2" t="s">
        <v>14</v>
      </c>
      <c r="B4" s="3" t="s">
        <v>12</v>
      </c>
      <c r="C4" s="4">
        <f t="shared" ref="C4:I4" si="3">C6*0.25</f>
        <v>3957500</v>
      </c>
      <c r="D4" s="4">
        <f t="shared" si="3"/>
        <v>3030500</v>
      </c>
      <c r="E4" s="4">
        <f t="shared" si="3"/>
        <v>4526500</v>
      </c>
      <c r="F4" s="4">
        <f t="shared" si="3"/>
        <v>620250</v>
      </c>
      <c r="G4" s="4">
        <f t="shared" si="3"/>
        <v>1500250</v>
      </c>
      <c r="H4" s="4">
        <f t="shared" si="3"/>
        <v>9677500</v>
      </c>
      <c r="I4" s="4">
        <f t="shared" si="3"/>
        <v>-5720000</v>
      </c>
      <c r="J4" s="4"/>
      <c r="K4" s="4"/>
    </row>
    <row r="5" ht="14.25" customHeight="1">
      <c r="A5" s="2" t="s">
        <v>15</v>
      </c>
      <c r="B5" s="3" t="s">
        <v>12</v>
      </c>
      <c r="C5" s="4">
        <f t="shared" ref="C5:I5" si="4">C6*0.28</f>
        <v>4432400</v>
      </c>
      <c r="D5" s="4">
        <f t="shared" si="4"/>
        <v>3394160</v>
      </c>
      <c r="E5" s="4">
        <f t="shared" si="4"/>
        <v>5069680</v>
      </c>
      <c r="F5" s="4">
        <f t="shared" si="4"/>
        <v>694680</v>
      </c>
      <c r="G5" s="4">
        <f t="shared" si="4"/>
        <v>1680280</v>
      </c>
      <c r="H5" s="4">
        <f t="shared" si="4"/>
        <v>10838800</v>
      </c>
      <c r="I5" s="4">
        <f t="shared" si="4"/>
        <v>-6406400</v>
      </c>
      <c r="J5" s="4"/>
      <c r="K5" s="4"/>
    </row>
    <row r="6" ht="14.25" customHeight="1">
      <c r="A6" s="2" t="s">
        <v>16</v>
      </c>
      <c r="B6" s="3" t="s">
        <v>17</v>
      </c>
      <c r="C6" s="4">
        <v>1.583E7</v>
      </c>
      <c r="D6" s="4">
        <v>1.2122E7</v>
      </c>
      <c r="E6" s="4">
        <v>1.8106E7</v>
      </c>
      <c r="F6" s="4">
        <v>2481000.0</v>
      </c>
      <c r="G6" s="4">
        <v>6001000.0</v>
      </c>
      <c r="H6" s="4">
        <v>3.871E7</v>
      </c>
      <c r="I6" s="4">
        <v>-2.288E7</v>
      </c>
      <c r="J6" s="4"/>
      <c r="K6" s="4"/>
    </row>
    <row r="7" ht="14.25" customHeight="1">
      <c r="A7" s="2" t="s">
        <v>18</v>
      </c>
      <c r="B7" s="3" t="s">
        <v>12</v>
      </c>
      <c r="C7" s="4">
        <f t="shared" ref="C7:K7" si="5">C11*0.23</f>
        <v>52656890</v>
      </c>
      <c r="D7" s="4">
        <f t="shared" si="5"/>
        <v>15819400</v>
      </c>
      <c r="E7" s="4">
        <f t="shared" si="5"/>
        <v>30326650</v>
      </c>
      <c r="F7" s="4">
        <f t="shared" si="5"/>
        <v>2970910</v>
      </c>
      <c r="G7" s="4">
        <f t="shared" si="5"/>
        <v>6863660</v>
      </c>
      <c r="H7" s="4">
        <f t="shared" si="5"/>
        <v>55980620</v>
      </c>
      <c r="I7" s="4">
        <f t="shared" si="5"/>
        <v>-3323730</v>
      </c>
      <c r="J7" s="4">
        <f t="shared" si="5"/>
        <v>1144704250</v>
      </c>
      <c r="K7" s="4">
        <f t="shared" si="5"/>
        <v>1175041480</v>
      </c>
    </row>
    <row r="8" ht="14.25" customHeight="1">
      <c r="A8" s="2" t="s">
        <v>19</v>
      </c>
      <c r="B8" s="3" t="s">
        <v>12</v>
      </c>
      <c r="C8" s="4">
        <f t="shared" ref="C8:K8" si="6">C11*0.24</f>
        <v>54946320</v>
      </c>
      <c r="D8" s="4">
        <f t="shared" si="6"/>
        <v>16507200</v>
      </c>
      <c r="E8" s="4">
        <f t="shared" si="6"/>
        <v>31645200</v>
      </c>
      <c r="F8" s="4">
        <f t="shared" si="6"/>
        <v>3100080</v>
      </c>
      <c r="G8" s="4">
        <f t="shared" si="6"/>
        <v>7162080</v>
      </c>
      <c r="H8" s="4">
        <f t="shared" si="6"/>
        <v>58414560</v>
      </c>
      <c r="I8" s="4">
        <f t="shared" si="6"/>
        <v>-3468240</v>
      </c>
      <c r="J8" s="4">
        <f t="shared" si="6"/>
        <v>1194474000</v>
      </c>
      <c r="K8" s="4">
        <f t="shared" si="6"/>
        <v>1226130240</v>
      </c>
    </row>
    <row r="9" ht="14.25" customHeight="1">
      <c r="A9" s="2" t="s">
        <v>20</v>
      </c>
      <c r="B9" s="3" t="s">
        <v>12</v>
      </c>
      <c r="C9" s="4">
        <f t="shared" ref="C9:K9" si="7">C11*0.25</f>
        <v>57235750</v>
      </c>
      <c r="D9" s="4">
        <f t="shared" si="7"/>
        <v>17195000</v>
      </c>
      <c r="E9" s="4">
        <f t="shared" si="7"/>
        <v>32963750</v>
      </c>
      <c r="F9" s="4">
        <f t="shared" si="7"/>
        <v>3229250</v>
      </c>
      <c r="G9" s="4">
        <f t="shared" si="7"/>
        <v>7460500</v>
      </c>
      <c r="H9" s="4">
        <f t="shared" si="7"/>
        <v>60848500</v>
      </c>
      <c r="I9" s="4">
        <f t="shared" si="7"/>
        <v>-3612750</v>
      </c>
      <c r="J9" s="4">
        <f t="shared" si="7"/>
        <v>1244243750</v>
      </c>
      <c r="K9" s="4">
        <f t="shared" si="7"/>
        <v>1277219000</v>
      </c>
    </row>
    <row r="10" ht="14.25" customHeight="1">
      <c r="A10" s="2" t="s">
        <v>21</v>
      </c>
      <c r="B10" s="3" t="s">
        <v>12</v>
      </c>
      <c r="C10" s="4">
        <f t="shared" ref="C10:K10" si="8">C11*0.28</f>
        <v>64104040</v>
      </c>
      <c r="D10" s="4">
        <f t="shared" si="8"/>
        <v>19258400</v>
      </c>
      <c r="E10" s="4">
        <f t="shared" si="8"/>
        <v>36919400</v>
      </c>
      <c r="F10" s="4">
        <f t="shared" si="8"/>
        <v>3616760</v>
      </c>
      <c r="G10" s="4">
        <f t="shared" si="8"/>
        <v>8355760</v>
      </c>
      <c r="H10" s="4">
        <f t="shared" si="8"/>
        <v>68150320</v>
      </c>
      <c r="I10" s="4">
        <f t="shared" si="8"/>
        <v>-4046280</v>
      </c>
      <c r="J10" s="4">
        <f t="shared" si="8"/>
        <v>1393553000</v>
      </c>
      <c r="K10" s="4">
        <f t="shared" si="8"/>
        <v>1430485280</v>
      </c>
    </row>
    <row r="11" ht="14.25" customHeight="1">
      <c r="A11" s="2" t="s">
        <v>22</v>
      </c>
      <c r="B11" s="3" t="s">
        <v>17</v>
      </c>
      <c r="C11" s="4">
        <v>2.28943E8</v>
      </c>
      <c r="D11" s="4">
        <v>6.878E7</v>
      </c>
      <c r="E11" s="4">
        <v>1.31855E8</v>
      </c>
      <c r="F11" s="4">
        <v>1.2917E7</v>
      </c>
      <c r="G11" s="4">
        <v>2.9842E7</v>
      </c>
      <c r="H11" s="4">
        <v>2.43394E8</v>
      </c>
      <c r="I11" s="4">
        <v>-1.4451E7</v>
      </c>
      <c r="J11" s="5">
        <v>4.976975E9</v>
      </c>
      <c r="K11" s="5">
        <v>5.108876E9</v>
      </c>
    </row>
    <row r="12" ht="14.25" customHeight="1">
      <c r="A12" s="2" t="s">
        <v>23</v>
      </c>
      <c r="B12" s="3" t="s">
        <v>12</v>
      </c>
      <c r="C12" s="4">
        <f t="shared" ref="C12:K12" si="9">C16*0.23</f>
        <v>440547980</v>
      </c>
      <c r="D12" s="4">
        <f t="shared" si="9"/>
        <v>113470500</v>
      </c>
      <c r="E12" s="4">
        <f t="shared" si="9"/>
        <v>220957550</v>
      </c>
      <c r="F12" s="4">
        <f t="shared" si="9"/>
        <v>4229470</v>
      </c>
      <c r="G12" s="4">
        <f t="shared" si="9"/>
        <v>27288120</v>
      </c>
      <c r="H12" s="4">
        <f t="shared" si="9"/>
        <v>365945640</v>
      </c>
      <c r="I12" s="4">
        <f t="shared" si="9"/>
        <v>74602340</v>
      </c>
      <c r="J12" s="4">
        <f t="shared" si="9"/>
        <v>4101497770</v>
      </c>
      <c r="K12" s="4">
        <f t="shared" si="9"/>
        <v>3800539780</v>
      </c>
    </row>
    <row r="13" ht="14.25" customHeight="1">
      <c r="A13" s="2" t="s">
        <v>24</v>
      </c>
      <c r="B13" s="3" t="s">
        <v>12</v>
      </c>
      <c r="C13" s="4">
        <f t="shared" ref="C13:K13" si="10">C16*0.24</f>
        <v>459702240</v>
      </c>
      <c r="D13" s="4">
        <f t="shared" si="10"/>
        <v>118404000</v>
      </c>
      <c r="E13" s="4">
        <f t="shared" si="10"/>
        <v>230564400</v>
      </c>
      <c r="F13" s="4">
        <f t="shared" si="10"/>
        <v>4413360</v>
      </c>
      <c r="G13" s="4">
        <f t="shared" si="10"/>
        <v>28474560</v>
      </c>
      <c r="H13" s="4">
        <f t="shared" si="10"/>
        <v>381856320</v>
      </c>
      <c r="I13" s="4">
        <f t="shared" si="10"/>
        <v>77845920</v>
      </c>
      <c r="J13" s="4">
        <f t="shared" si="10"/>
        <v>4279823760</v>
      </c>
      <c r="K13" s="4">
        <f t="shared" si="10"/>
        <v>3965780640</v>
      </c>
    </row>
    <row r="14" ht="14.25" customHeight="1">
      <c r="A14" s="2" t="s">
        <v>25</v>
      </c>
      <c r="B14" s="3" t="s">
        <v>12</v>
      </c>
      <c r="C14" s="4">
        <f t="shared" ref="C14:K14" si="11">C16*0.25</f>
        <v>478856500</v>
      </c>
      <c r="D14" s="4">
        <f t="shared" si="11"/>
        <v>123337500</v>
      </c>
      <c r="E14" s="4">
        <f t="shared" si="11"/>
        <v>240171250</v>
      </c>
      <c r="F14" s="4">
        <f t="shared" si="11"/>
        <v>4597250</v>
      </c>
      <c r="G14" s="4">
        <f t="shared" si="11"/>
        <v>29661000</v>
      </c>
      <c r="H14" s="4">
        <f t="shared" si="11"/>
        <v>397767000</v>
      </c>
      <c r="I14" s="4">
        <f t="shared" si="11"/>
        <v>81089500</v>
      </c>
      <c r="J14" s="4">
        <f t="shared" si="11"/>
        <v>4458149750</v>
      </c>
      <c r="K14" s="4">
        <f t="shared" si="11"/>
        <v>4131021500</v>
      </c>
    </row>
    <row r="15" ht="14.25" customHeight="1">
      <c r="A15" s="2" t="s">
        <v>26</v>
      </c>
      <c r="B15" s="3" t="s">
        <v>12</v>
      </c>
      <c r="C15" s="4">
        <f t="shared" ref="C15:K15" si="12">C16*0.28</f>
        <v>536319280</v>
      </c>
      <c r="D15" s="4">
        <f t="shared" si="12"/>
        <v>138138000</v>
      </c>
      <c r="E15" s="4">
        <f t="shared" si="12"/>
        <v>268991800</v>
      </c>
      <c r="F15" s="4">
        <f t="shared" si="12"/>
        <v>5148920</v>
      </c>
      <c r="G15" s="4">
        <f t="shared" si="12"/>
        <v>33220320</v>
      </c>
      <c r="H15" s="4">
        <f t="shared" si="12"/>
        <v>445499040</v>
      </c>
      <c r="I15" s="4">
        <f t="shared" si="12"/>
        <v>90820240</v>
      </c>
      <c r="J15" s="4">
        <f t="shared" si="12"/>
        <v>4993127720</v>
      </c>
      <c r="K15" s="4">
        <f t="shared" si="12"/>
        <v>4626744080</v>
      </c>
    </row>
    <row r="16" ht="14.25" customHeight="1">
      <c r="A16" s="2" t="s">
        <v>27</v>
      </c>
      <c r="B16" s="3" t="s">
        <v>17</v>
      </c>
      <c r="C16" s="4">
        <v>1.915426E9</v>
      </c>
      <c r="D16" s="4">
        <v>4.9335E8</v>
      </c>
      <c r="E16" s="4">
        <v>9.60685E8</v>
      </c>
      <c r="F16" s="4">
        <v>1.8389E7</v>
      </c>
      <c r="G16" s="4">
        <v>1.18644E8</v>
      </c>
      <c r="H16" s="4">
        <v>1.591068E9</v>
      </c>
      <c r="I16" s="4">
        <v>3.24358E8</v>
      </c>
      <c r="J16" s="4">
        <v>1.7832599E10</v>
      </c>
      <c r="K16" s="4">
        <v>1.6524086E10</v>
      </c>
    </row>
    <row r="17" ht="14.25" customHeight="1">
      <c r="A17" s="2" t="s">
        <v>28</v>
      </c>
      <c r="B17" s="3" t="s">
        <v>29</v>
      </c>
      <c r="C17" s="4">
        <v>9.81632E8</v>
      </c>
      <c r="D17" s="4">
        <v>2.62394E8</v>
      </c>
      <c r="E17" s="4">
        <v>5.61402E8</v>
      </c>
      <c r="F17" s="4">
        <v>1.0549E7</v>
      </c>
      <c r="G17" s="4">
        <v>1.74757E8</v>
      </c>
      <c r="H17" s="5">
        <v>1.009102E9</v>
      </c>
      <c r="I17" s="4">
        <v>-2.747E7</v>
      </c>
      <c r="J17" s="4">
        <v>2.1860383E10</v>
      </c>
      <c r="K17" s="4">
        <v>1.8791101E10</v>
      </c>
    </row>
    <row r="18" ht="14.25" customHeight="1">
      <c r="A18" s="2" t="s">
        <v>30</v>
      </c>
      <c r="B18" s="3" t="s">
        <v>29</v>
      </c>
      <c r="C18" s="4">
        <v>1.212788E9</v>
      </c>
      <c r="D18" s="4">
        <v>3.12667E8</v>
      </c>
      <c r="E18" s="4">
        <v>6.69913E8</v>
      </c>
      <c r="F18" s="4">
        <v>3.6799E7</v>
      </c>
      <c r="G18" s="4">
        <v>1.742E8</v>
      </c>
      <c r="H18" s="4">
        <v>1.193579E9</v>
      </c>
      <c r="I18" s="4">
        <v>1.9209E7</v>
      </c>
      <c r="J18" s="4">
        <v>2.6241363E10</v>
      </c>
      <c r="K18" s="4">
        <v>2.2420557E10</v>
      </c>
    </row>
    <row r="19" ht="14.25" customHeight="1">
      <c r="A19" s="2" t="s">
        <v>31</v>
      </c>
      <c r="B19" s="3" t="s">
        <v>29</v>
      </c>
      <c r="C19" s="4">
        <v>1.364676E9</v>
      </c>
      <c r="D19" s="4">
        <v>3.68824E8</v>
      </c>
      <c r="E19" s="4">
        <v>7.47479E8</v>
      </c>
      <c r="F19" s="4">
        <v>4.4645E7</v>
      </c>
      <c r="G19" s="4">
        <v>1.51878E8</v>
      </c>
      <c r="H19" s="4">
        <v>1.312826E9</v>
      </c>
      <c r="I19" s="4">
        <v>5.185E7</v>
      </c>
      <c r="J19" s="4">
        <v>3.2910498E10</v>
      </c>
      <c r="K19" s="4">
        <v>2.9032484E10</v>
      </c>
    </row>
    <row r="20" ht="14.25" customHeight="1">
      <c r="A20" s="2" t="s">
        <v>32</v>
      </c>
      <c r="B20" s="3" t="s">
        <v>12</v>
      </c>
      <c r="C20" s="6">
        <f>C19*(1+((C19/C18-1)*0.65))</f>
        <v>1475767667</v>
      </c>
      <c r="D20" s="4">
        <f>C20*(AVERAGE(D17/C17, D18/C18, D19/C19))</f>
        <v>391263972.5</v>
      </c>
      <c r="E20" s="4">
        <f>C20*Average(E17/C17, E18/C18, E19/C19)</f>
        <v>822501804.3</v>
      </c>
      <c r="F20" s="4">
        <f>C20*Average(F17/C17, F18/C18, F19/C18)</f>
        <v>38321135.08</v>
      </c>
      <c r="G20" s="4">
        <f>C20*Average(G17/C17, G18/C18, G19/C19)</f>
        <v>212980495.6</v>
      </c>
      <c r="H20" s="4">
        <f>sum(D20:G20)</f>
        <v>1465067407</v>
      </c>
      <c r="I20" s="4">
        <f>C20-H20</f>
        <v>10700259.3</v>
      </c>
      <c r="J20" s="5">
        <f t="shared" ref="J20:K20" si="13">J19*(1+((J19/J18)-1)*0.5)</f>
        <v>37092532182</v>
      </c>
      <c r="K20" s="4">
        <f t="shared" si="13"/>
        <v>33313391580</v>
      </c>
    </row>
    <row r="21" ht="14.25" customHeight="1">
      <c r="A21" s="2" t="s">
        <v>33</v>
      </c>
      <c r="B21" s="3" t="s">
        <v>34</v>
      </c>
      <c r="C21" s="4">
        <f t="shared" ref="C21:G21" si="14">sum(C17:C20)</f>
        <v>5034863667</v>
      </c>
      <c r="D21" s="4">
        <f t="shared" si="14"/>
        <v>1335148973</v>
      </c>
      <c r="E21" s="4">
        <f t="shared" si="14"/>
        <v>2801295804</v>
      </c>
      <c r="F21" s="4">
        <f t="shared" si="14"/>
        <v>130314135.1</v>
      </c>
      <c r="G21" s="4">
        <f t="shared" si="14"/>
        <v>713815495.6</v>
      </c>
      <c r="H21" s="4">
        <f>Sum(H17:H20)</f>
        <v>4980574407</v>
      </c>
      <c r="I21" s="4">
        <f t="shared" ref="I21:K21" si="15">sum(I17:I20)</f>
        <v>54289259.3</v>
      </c>
      <c r="J21" s="4">
        <f t="shared" si="15"/>
        <v>118104776182</v>
      </c>
      <c r="K21" s="4">
        <f t="shared" si="15"/>
        <v>103557533580</v>
      </c>
    </row>
    <row r="22" ht="14.25" customHeight="1"/>
    <row r="23" ht="14.25" customHeight="1">
      <c r="C23" s="7"/>
      <c r="D23" s="7"/>
      <c r="E23" s="7"/>
      <c r="F23" s="7"/>
      <c r="G23" s="7"/>
      <c r="H23" s="7"/>
      <c r="I23" s="7"/>
      <c r="J23" s="7"/>
      <c r="K23" s="7"/>
    </row>
    <row r="24" ht="14.25" customHeight="1">
      <c r="C24" s="7"/>
      <c r="D24" s="7"/>
      <c r="E24" s="7"/>
      <c r="F24" s="7"/>
      <c r="G24" s="7"/>
      <c r="H24" s="7"/>
      <c r="I24" s="7"/>
      <c r="J24" s="7"/>
      <c r="K24" s="7"/>
    </row>
    <row r="25" ht="14.25" customHeight="1">
      <c r="B25" s="8" t="s">
        <v>35</v>
      </c>
      <c r="C25" s="7"/>
      <c r="D25" s="9">
        <f>C20*(AVERAGE(D17/C17, D18/C18, D19/C19))</f>
        <v>391263972.5</v>
      </c>
      <c r="E25" s="9">
        <f>C20*Average(E17/C17, E18/C18, E19/C19)</f>
        <v>822501804.3</v>
      </c>
      <c r="F25" s="7">
        <f>C20*Average(F17/C17, F18/C18, F19/C18)</f>
        <v>38321135.08</v>
      </c>
      <c r="G25" s="7">
        <f>C20*Average(G17/C17, G18/C18, G19/C19)</f>
        <v>212980495.6</v>
      </c>
      <c r="H25" s="7"/>
      <c r="I25" s="7"/>
      <c r="J25" s="7">
        <f t="shared" ref="J25:K25" si="16">J19*(1+((J19/J18)-1)*0.5)</f>
        <v>37092532182</v>
      </c>
      <c r="K25" s="7">
        <f t="shared" si="16"/>
        <v>33313391580</v>
      </c>
    </row>
    <row r="26" ht="14.25" customHeight="1">
      <c r="B26" s="7"/>
      <c r="C26" s="7"/>
      <c r="D26" s="7"/>
      <c r="F26" s="7"/>
      <c r="G26" s="7"/>
      <c r="H26" s="7"/>
      <c r="I26" s="7"/>
      <c r="J26" s="7"/>
      <c r="K26" s="7"/>
    </row>
    <row r="27" ht="14.25" customHeight="1">
      <c r="B27" s="6" t="s">
        <v>36</v>
      </c>
      <c r="C27" s="10">
        <f t="shared" ref="C27:C28" si="17">(C18/C17)-1</f>
        <v>0.2354813209</v>
      </c>
      <c r="D27" s="9"/>
      <c r="F27" s="9"/>
      <c r="H27" s="9"/>
      <c r="I27" s="9"/>
    </row>
    <row r="28" ht="14.25" customHeight="1">
      <c r="B28" s="6" t="s">
        <v>37</v>
      </c>
      <c r="C28" s="10">
        <f t="shared" si="17"/>
        <v>0.1252387062</v>
      </c>
      <c r="D28" s="9"/>
      <c r="F28" s="9"/>
      <c r="G28" s="9"/>
      <c r="H28" s="9"/>
      <c r="I28" s="9"/>
      <c r="J28" s="9"/>
      <c r="K28" s="9"/>
    </row>
    <row r="29" ht="14.25" customHeight="1">
      <c r="B29" s="11" t="s">
        <v>38</v>
      </c>
      <c r="C29" s="10">
        <f>((C19/C18)-1)*0.65</f>
        <v>0.08140515902</v>
      </c>
    </row>
    <row r="30" ht="14.25" customHeight="1">
      <c r="B30" s="6" t="s">
        <v>39</v>
      </c>
      <c r="C30" s="9">
        <f>C19*(1+((C19/C18-1)*0.65))</f>
        <v>1475767667</v>
      </c>
      <c r="D30" s="9"/>
      <c r="F30" s="9"/>
      <c r="G30" s="9"/>
      <c r="H30" s="9"/>
      <c r="I30" s="9"/>
    </row>
    <row r="31" ht="14.25" customHeight="1">
      <c r="B31" s="6"/>
      <c r="C31" s="6"/>
    </row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Uriel Aguilar Torres</dc:creator>
</cp:coreProperties>
</file>